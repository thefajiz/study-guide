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rrayinnovation-my.sharepoint.com/personal/muhammad_madathil_array_world/Documents/Desktop/mo/docs/"/>
    </mc:Choice>
  </mc:AlternateContent>
  <xr:revisionPtr revIDLastSave="0" documentId="8_{4F320E5D-543B-4659-BD81-B19D2C26DD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Transactions" sheetId="2" r:id="rId2"/>
    <sheet name="Bank_Accounts" sheetId="3" r:id="rId3"/>
    <sheet name="Investments" sheetId="4" r:id="rId4"/>
    <sheet name="Money_Lent" sheetId="5" r:id="rId5"/>
    <sheet name="Budgets" sheetId="6" r:id="rId6"/>
    <sheet name="Subscriptions" sheetId="7" r:id="rId7"/>
    <sheet name="Emergency_Fund" sheetId="8" r:id="rId8"/>
    <sheet name="Goals" sheetId="9" r:id="rId9"/>
    <sheet name="Annual_Summary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9" l="1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E2" i="4"/>
  <c r="F2" i="4" s="1"/>
  <c r="G5" i="1"/>
  <c r="B5" i="1"/>
  <c r="I4" i="5" l="1"/>
  <c r="L5" i="1" s="1"/>
  <c r="Q5" i="1" s="1"/>
  <c r="I2" i="5"/>
</calcChain>
</file>

<file path=xl/sharedStrings.xml><?xml version="1.0" encoding="utf-8"?>
<sst xmlns="http://schemas.openxmlformats.org/spreadsheetml/2006/main" count="52" uniqueCount="49">
  <si>
    <t>Personal Finance Command Center</t>
  </si>
  <si>
    <t>Total Cash</t>
  </si>
  <si>
    <t>Investments</t>
  </si>
  <si>
    <t>Outstanding Loans</t>
  </si>
  <si>
    <t>Total Assets</t>
  </si>
  <si>
    <t>Date</t>
  </si>
  <si>
    <t>Description</t>
  </si>
  <si>
    <t>Category</t>
  </si>
  <si>
    <t>Type</t>
  </si>
  <si>
    <t>Amount</t>
  </si>
  <si>
    <t>Account</t>
  </si>
  <si>
    <t>Notes</t>
  </si>
  <si>
    <t>Balance</t>
  </si>
  <si>
    <t>Ila</t>
  </si>
  <si>
    <t>NBB</t>
  </si>
  <si>
    <t>BISB</t>
  </si>
  <si>
    <t>Beyon</t>
  </si>
  <si>
    <t>STC</t>
  </si>
  <si>
    <t>Investment</t>
  </si>
  <si>
    <t>Starting Amount</t>
  </si>
  <si>
    <t>Annual Rate %</t>
  </si>
  <si>
    <t>Current Balance (Manual)</t>
  </si>
  <si>
    <t>Expected Balance</t>
  </si>
  <si>
    <t>Variance</t>
  </si>
  <si>
    <t>Beyon Flexi Invest</t>
  </si>
  <si>
    <t>Person</t>
  </si>
  <si>
    <t>Amount Lent</t>
  </si>
  <si>
    <t>Date Lent</t>
  </si>
  <si>
    <t>Returned?</t>
  </si>
  <si>
    <t>Returned Amount</t>
  </si>
  <si>
    <t>Dashboard Value</t>
  </si>
  <si>
    <t>Budget</t>
  </si>
  <si>
    <t>Housing</t>
  </si>
  <si>
    <t>Groceries</t>
  </si>
  <si>
    <t>Dining</t>
  </si>
  <si>
    <t>Shopping</t>
  </si>
  <si>
    <t>Transport</t>
  </si>
  <si>
    <t>Utilities</t>
  </si>
  <si>
    <t>Service</t>
  </si>
  <si>
    <t>Monthly Cost</t>
  </si>
  <si>
    <t>Renewal Date</t>
  </si>
  <si>
    <t>Current Fund</t>
  </si>
  <si>
    <t>3 Month Target</t>
  </si>
  <si>
    <t>6 Month Target</t>
  </si>
  <si>
    <t>Goal</t>
  </si>
  <si>
    <t>Target</t>
  </si>
  <si>
    <t>Current</t>
  </si>
  <si>
    <t>Progress %</t>
  </si>
  <si>
    <t>Monthly summaries populate from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</si>
</sst>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0F14"/>
      </patternFill>
    </fill>
    <fill>
      <patternFill patternType="solid">
        <fgColor rgb="FF1218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1:G5000">
  <autoFilter ref="A1:G5000" xr:uid="{00000000-0009-0000-0100-000001000000}"/>
  <tableColumns count="7">
    <tableColumn id="1" xr3:uid="{00000000-0010-0000-0000-000001000000}" name="Date"/>
    <tableColumn id="2" xr3:uid="{00000000-0010-0000-0000-000002000000}" name="Description"/>
    <tableColumn id="3" xr3:uid="{00000000-0010-0000-0000-000003000000}" name="Category"/>
    <tableColumn id="4" xr3:uid="{00000000-0010-0000-0000-000004000000}" name="Type"/>
    <tableColumn id="5" xr3:uid="{00000000-0010-0000-0000-000005000000}" name="Amount"/>
    <tableColumn id="6" xr3:uid="{00000000-0010-0000-0000-000006000000}" name="Account"/>
    <tableColumn id="7" xr3:uid="{00000000-0010-0000-0000-000007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"/>
  <sheetViews>
    <sheetView tabSelected="1" workbookViewId="0">
      <selection activeCell="K12" sqref="K12"/>
    </sheetView>
  </sheetViews>
  <sheetFormatPr defaultRowHeight="15" x14ac:dyDescent="0.25"/>
  <cols>
    <col min="1" max="26" width="18" customWidth="1"/>
  </cols>
  <sheetData>
    <row r="1" spans="1:26" ht="26.25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3" t="s">
        <v>1</v>
      </c>
      <c r="C3" s="4"/>
      <c r="D3" s="4"/>
      <c r="E3" s="4"/>
      <c r="F3" s="2"/>
      <c r="G3" s="3" t="s">
        <v>2</v>
      </c>
      <c r="H3" s="4"/>
      <c r="I3" s="4"/>
      <c r="J3" s="4"/>
      <c r="K3" s="2"/>
      <c r="L3" s="3" t="s">
        <v>3</v>
      </c>
      <c r="M3" s="4"/>
      <c r="N3" s="4"/>
      <c r="O3" s="4"/>
      <c r="P3" s="2"/>
      <c r="Q3" s="3" t="s">
        <v>4</v>
      </c>
      <c r="R3" s="4"/>
      <c r="S3" s="4"/>
      <c r="T3" s="4"/>
      <c r="U3" s="2"/>
      <c r="V3" s="2"/>
      <c r="W3" s="2"/>
      <c r="X3" s="2"/>
      <c r="Y3" s="2"/>
      <c r="Z3" s="2"/>
    </row>
    <row r="4" spans="1:26" x14ac:dyDescent="0.25">
      <c r="A4" s="2"/>
      <c r="B4" s="4"/>
      <c r="C4" s="4"/>
      <c r="D4" s="4"/>
      <c r="E4" s="4"/>
      <c r="F4" s="2"/>
      <c r="G4" s="4"/>
      <c r="H4" s="4"/>
      <c r="I4" s="4"/>
      <c r="J4" s="4"/>
      <c r="K4" s="2"/>
      <c r="L4" s="4"/>
      <c r="M4" s="4"/>
      <c r="N4" s="4"/>
      <c r="O4" s="4"/>
      <c r="P4" s="2"/>
      <c r="Q4" s="4"/>
      <c r="R4" s="4"/>
      <c r="S4" s="4"/>
      <c r="T4" s="4"/>
      <c r="U4" s="2"/>
      <c r="V4" s="2"/>
      <c r="W4" s="2"/>
      <c r="X4" s="2"/>
      <c r="Y4" s="2"/>
      <c r="Z4" s="2"/>
    </row>
    <row r="5" spans="1:26" x14ac:dyDescent="0.25">
      <c r="A5" s="2"/>
      <c r="B5" s="4">
        <f>SUM(Bank_Accounts!B2:B6)</f>
        <v>0</v>
      </c>
      <c r="C5" s="4"/>
      <c r="D5" s="4"/>
      <c r="E5" s="4"/>
      <c r="F5" s="2"/>
      <c r="G5" s="4">
        <f>SUM(Investments!D2:D20)</f>
        <v>0</v>
      </c>
      <c r="H5" s="4"/>
      <c r="I5" s="4"/>
      <c r="J5" s="4"/>
      <c r="K5" s="2"/>
      <c r="L5" s="4">
        <f>Money_Lent!I4</f>
        <v>0</v>
      </c>
      <c r="M5" s="4"/>
      <c r="N5" s="4"/>
      <c r="O5" s="4"/>
      <c r="P5" s="2"/>
      <c r="Q5" s="4">
        <f>B5+G5+L5</f>
        <v>0</v>
      </c>
      <c r="R5" s="4"/>
      <c r="S5" s="4"/>
      <c r="T5" s="4"/>
      <c r="U5" s="2"/>
      <c r="V5" s="2"/>
      <c r="W5" s="2"/>
      <c r="X5" s="2"/>
      <c r="Y5" s="2"/>
      <c r="Z5" s="2"/>
    </row>
    <row r="6" spans="1:26" x14ac:dyDescent="0.25">
      <c r="A6" s="2"/>
      <c r="B6" s="4"/>
      <c r="C6" s="4"/>
      <c r="D6" s="4"/>
      <c r="E6" s="4"/>
      <c r="F6" s="2"/>
      <c r="G6" s="4"/>
      <c r="H6" s="4"/>
      <c r="I6" s="4"/>
      <c r="J6" s="4"/>
      <c r="K6" s="2"/>
      <c r="L6" s="4"/>
      <c r="M6" s="4"/>
      <c r="N6" s="4"/>
      <c r="O6" s="4"/>
      <c r="P6" s="2"/>
      <c r="Q6" s="4"/>
      <c r="R6" s="4"/>
      <c r="S6" s="4"/>
      <c r="T6" s="4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/>
  </sheetViews>
  <sheetFormatPr defaultRowHeight="15" x14ac:dyDescent="0.2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12</v>
      </c>
    </row>
    <row r="2" spans="1:2" x14ac:dyDescent="0.25">
      <c r="A2" t="s">
        <v>13</v>
      </c>
      <c r="B2">
        <v>0</v>
      </c>
    </row>
    <row r="3" spans="1:2" x14ac:dyDescent="0.25">
      <c r="A3" t="s">
        <v>14</v>
      </c>
      <c r="B3">
        <v>0</v>
      </c>
    </row>
    <row r="4" spans="1:2" x14ac:dyDescent="0.25">
      <c r="A4" t="s">
        <v>15</v>
      </c>
      <c r="B4">
        <v>0</v>
      </c>
    </row>
    <row r="5" spans="1:2" x14ac:dyDescent="0.25">
      <c r="A5" t="s">
        <v>16</v>
      </c>
      <c r="B5">
        <v>0</v>
      </c>
    </row>
    <row r="6" spans="1:2" x14ac:dyDescent="0.25">
      <c r="A6" t="s">
        <v>17</v>
      </c>
      <c r="B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RowHeight="15" x14ac:dyDescent="0.25"/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 t="s">
        <v>24</v>
      </c>
      <c r="B2">
        <v>0</v>
      </c>
      <c r="C2">
        <v>3.5</v>
      </c>
      <c r="D2">
        <v>0</v>
      </c>
      <c r="E2">
        <f>B2*(1+C2/100)</f>
        <v>0</v>
      </c>
      <c r="F2">
        <f>D2-E2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9"/>
  <sheetViews>
    <sheetView workbookViewId="0"/>
  </sheetViews>
  <sheetFormatPr defaultRowHeight="15" x14ac:dyDescent="0.25"/>
  <sheetData>
    <row r="1" spans="1:9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9" x14ac:dyDescent="0.25">
      <c r="F2">
        <f t="shared" ref="F2:F33" si="0">IF(D2=TRUE,0,B2)</f>
        <v>0</v>
      </c>
      <c r="H2" t="s">
        <v>3</v>
      </c>
      <c r="I2">
        <f>SUM(F2:F99)</f>
        <v>0</v>
      </c>
    </row>
    <row r="3" spans="1:9" x14ac:dyDescent="0.25">
      <c r="F3">
        <f t="shared" si="0"/>
        <v>0</v>
      </c>
    </row>
    <row r="4" spans="1:9" x14ac:dyDescent="0.25">
      <c r="F4">
        <f t="shared" si="0"/>
        <v>0</v>
      </c>
      <c r="H4" t="s">
        <v>30</v>
      </c>
      <c r="I4">
        <f>SUM(F2:F99)</f>
        <v>0</v>
      </c>
    </row>
    <row r="5" spans="1:9" x14ac:dyDescent="0.25">
      <c r="F5">
        <f t="shared" si="0"/>
        <v>0</v>
      </c>
    </row>
    <row r="6" spans="1:9" x14ac:dyDescent="0.25">
      <c r="F6">
        <f t="shared" si="0"/>
        <v>0</v>
      </c>
    </row>
    <row r="7" spans="1:9" x14ac:dyDescent="0.25">
      <c r="F7">
        <f t="shared" si="0"/>
        <v>0</v>
      </c>
    </row>
    <row r="8" spans="1:9" x14ac:dyDescent="0.25">
      <c r="F8">
        <f t="shared" si="0"/>
        <v>0</v>
      </c>
    </row>
    <row r="9" spans="1:9" x14ac:dyDescent="0.25">
      <c r="F9">
        <f t="shared" si="0"/>
        <v>0</v>
      </c>
    </row>
    <row r="10" spans="1:9" x14ac:dyDescent="0.25">
      <c r="F10">
        <f t="shared" si="0"/>
        <v>0</v>
      </c>
    </row>
    <row r="11" spans="1:9" x14ac:dyDescent="0.25">
      <c r="F11">
        <f t="shared" si="0"/>
        <v>0</v>
      </c>
    </row>
    <row r="12" spans="1:9" x14ac:dyDescent="0.25">
      <c r="F12">
        <f t="shared" si="0"/>
        <v>0</v>
      </c>
    </row>
    <row r="13" spans="1:9" x14ac:dyDescent="0.25">
      <c r="F13">
        <f t="shared" si="0"/>
        <v>0</v>
      </c>
    </row>
    <row r="14" spans="1:9" x14ac:dyDescent="0.25">
      <c r="F14">
        <f t="shared" si="0"/>
        <v>0</v>
      </c>
    </row>
    <row r="15" spans="1:9" x14ac:dyDescent="0.25">
      <c r="F15">
        <f t="shared" si="0"/>
        <v>0</v>
      </c>
    </row>
    <row r="16" spans="1:9" x14ac:dyDescent="0.25">
      <c r="F16">
        <f t="shared" si="0"/>
        <v>0</v>
      </c>
    </row>
    <row r="17" spans="6:6" x14ac:dyDescent="0.25">
      <c r="F17">
        <f t="shared" si="0"/>
        <v>0</v>
      </c>
    </row>
    <row r="18" spans="6:6" x14ac:dyDescent="0.25">
      <c r="F18">
        <f t="shared" si="0"/>
        <v>0</v>
      </c>
    </row>
    <row r="19" spans="6:6" x14ac:dyDescent="0.25">
      <c r="F19">
        <f t="shared" si="0"/>
        <v>0</v>
      </c>
    </row>
    <row r="20" spans="6:6" x14ac:dyDescent="0.25">
      <c r="F20">
        <f t="shared" si="0"/>
        <v>0</v>
      </c>
    </row>
    <row r="21" spans="6:6" x14ac:dyDescent="0.25">
      <c r="F21">
        <f t="shared" si="0"/>
        <v>0</v>
      </c>
    </row>
    <row r="22" spans="6:6" x14ac:dyDescent="0.25">
      <c r="F22">
        <f t="shared" si="0"/>
        <v>0</v>
      </c>
    </row>
    <row r="23" spans="6:6" x14ac:dyDescent="0.25">
      <c r="F23">
        <f t="shared" si="0"/>
        <v>0</v>
      </c>
    </row>
    <row r="24" spans="6:6" x14ac:dyDescent="0.25">
      <c r="F24">
        <f t="shared" si="0"/>
        <v>0</v>
      </c>
    </row>
    <row r="25" spans="6:6" x14ac:dyDescent="0.25">
      <c r="F25">
        <f t="shared" si="0"/>
        <v>0</v>
      </c>
    </row>
    <row r="26" spans="6:6" x14ac:dyDescent="0.25">
      <c r="F26">
        <f t="shared" si="0"/>
        <v>0</v>
      </c>
    </row>
    <row r="27" spans="6:6" x14ac:dyDescent="0.25">
      <c r="F27">
        <f t="shared" si="0"/>
        <v>0</v>
      </c>
    </row>
    <row r="28" spans="6:6" x14ac:dyDescent="0.25">
      <c r="F28">
        <f t="shared" si="0"/>
        <v>0</v>
      </c>
    </row>
    <row r="29" spans="6:6" x14ac:dyDescent="0.25">
      <c r="F29">
        <f t="shared" si="0"/>
        <v>0</v>
      </c>
    </row>
    <row r="30" spans="6:6" x14ac:dyDescent="0.25">
      <c r="F30">
        <f t="shared" si="0"/>
        <v>0</v>
      </c>
    </row>
    <row r="31" spans="6:6" x14ac:dyDescent="0.25">
      <c r="F31">
        <f t="shared" si="0"/>
        <v>0</v>
      </c>
    </row>
    <row r="32" spans="6:6" x14ac:dyDescent="0.25">
      <c r="F32">
        <f t="shared" si="0"/>
        <v>0</v>
      </c>
    </row>
    <row r="33" spans="6:6" x14ac:dyDescent="0.25">
      <c r="F33">
        <f t="shared" si="0"/>
        <v>0</v>
      </c>
    </row>
    <row r="34" spans="6:6" x14ac:dyDescent="0.25">
      <c r="F34">
        <f t="shared" ref="F34:F65" si="1">IF(D34=TRUE,0,B34)</f>
        <v>0</v>
      </c>
    </row>
    <row r="35" spans="6:6" x14ac:dyDescent="0.25">
      <c r="F35">
        <f t="shared" si="1"/>
        <v>0</v>
      </c>
    </row>
    <row r="36" spans="6:6" x14ac:dyDescent="0.25">
      <c r="F36">
        <f t="shared" si="1"/>
        <v>0</v>
      </c>
    </row>
    <row r="37" spans="6:6" x14ac:dyDescent="0.25">
      <c r="F37">
        <f t="shared" si="1"/>
        <v>0</v>
      </c>
    </row>
    <row r="38" spans="6:6" x14ac:dyDescent="0.25">
      <c r="F38">
        <f t="shared" si="1"/>
        <v>0</v>
      </c>
    </row>
    <row r="39" spans="6:6" x14ac:dyDescent="0.25">
      <c r="F39">
        <f t="shared" si="1"/>
        <v>0</v>
      </c>
    </row>
    <row r="40" spans="6:6" x14ac:dyDescent="0.25">
      <c r="F40">
        <f t="shared" si="1"/>
        <v>0</v>
      </c>
    </row>
    <row r="41" spans="6:6" x14ac:dyDescent="0.25">
      <c r="F41">
        <f t="shared" si="1"/>
        <v>0</v>
      </c>
    </row>
    <row r="42" spans="6:6" x14ac:dyDescent="0.25">
      <c r="F42">
        <f t="shared" si="1"/>
        <v>0</v>
      </c>
    </row>
    <row r="43" spans="6:6" x14ac:dyDescent="0.25">
      <c r="F43">
        <f t="shared" si="1"/>
        <v>0</v>
      </c>
    </row>
    <row r="44" spans="6:6" x14ac:dyDescent="0.25">
      <c r="F44">
        <f t="shared" si="1"/>
        <v>0</v>
      </c>
    </row>
    <row r="45" spans="6:6" x14ac:dyDescent="0.25">
      <c r="F45">
        <f t="shared" si="1"/>
        <v>0</v>
      </c>
    </row>
    <row r="46" spans="6:6" x14ac:dyDescent="0.25">
      <c r="F46">
        <f t="shared" si="1"/>
        <v>0</v>
      </c>
    </row>
    <row r="47" spans="6:6" x14ac:dyDescent="0.25">
      <c r="F47">
        <f t="shared" si="1"/>
        <v>0</v>
      </c>
    </row>
    <row r="48" spans="6:6" x14ac:dyDescent="0.25">
      <c r="F48">
        <f t="shared" si="1"/>
        <v>0</v>
      </c>
    </row>
    <row r="49" spans="6:6" x14ac:dyDescent="0.25">
      <c r="F49">
        <f t="shared" si="1"/>
        <v>0</v>
      </c>
    </row>
    <row r="50" spans="6:6" x14ac:dyDescent="0.25">
      <c r="F50">
        <f t="shared" si="1"/>
        <v>0</v>
      </c>
    </row>
    <row r="51" spans="6:6" x14ac:dyDescent="0.25">
      <c r="F51">
        <f t="shared" si="1"/>
        <v>0</v>
      </c>
    </row>
    <row r="52" spans="6:6" x14ac:dyDescent="0.25">
      <c r="F52">
        <f t="shared" si="1"/>
        <v>0</v>
      </c>
    </row>
    <row r="53" spans="6:6" x14ac:dyDescent="0.25">
      <c r="F53">
        <f t="shared" si="1"/>
        <v>0</v>
      </c>
    </row>
    <row r="54" spans="6:6" x14ac:dyDescent="0.25">
      <c r="F54">
        <f t="shared" si="1"/>
        <v>0</v>
      </c>
    </row>
    <row r="55" spans="6:6" x14ac:dyDescent="0.25">
      <c r="F55">
        <f t="shared" si="1"/>
        <v>0</v>
      </c>
    </row>
    <row r="56" spans="6:6" x14ac:dyDescent="0.25">
      <c r="F56">
        <f t="shared" si="1"/>
        <v>0</v>
      </c>
    </row>
    <row r="57" spans="6:6" x14ac:dyDescent="0.25">
      <c r="F57">
        <f t="shared" si="1"/>
        <v>0</v>
      </c>
    </row>
    <row r="58" spans="6:6" x14ac:dyDescent="0.25">
      <c r="F58">
        <f t="shared" si="1"/>
        <v>0</v>
      </c>
    </row>
    <row r="59" spans="6:6" x14ac:dyDescent="0.25">
      <c r="F59">
        <f t="shared" si="1"/>
        <v>0</v>
      </c>
    </row>
    <row r="60" spans="6:6" x14ac:dyDescent="0.25">
      <c r="F60">
        <f t="shared" si="1"/>
        <v>0</v>
      </c>
    </row>
    <row r="61" spans="6:6" x14ac:dyDescent="0.25">
      <c r="F61">
        <f t="shared" si="1"/>
        <v>0</v>
      </c>
    </row>
    <row r="62" spans="6:6" x14ac:dyDescent="0.25">
      <c r="F62">
        <f t="shared" si="1"/>
        <v>0</v>
      </c>
    </row>
    <row r="63" spans="6:6" x14ac:dyDescent="0.25">
      <c r="F63">
        <f t="shared" si="1"/>
        <v>0</v>
      </c>
    </row>
    <row r="64" spans="6:6" x14ac:dyDescent="0.25">
      <c r="F64">
        <f t="shared" si="1"/>
        <v>0</v>
      </c>
    </row>
    <row r="65" spans="6:6" x14ac:dyDescent="0.25">
      <c r="F65">
        <f t="shared" si="1"/>
        <v>0</v>
      </c>
    </row>
    <row r="66" spans="6:6" x14ac:dyDescent="0.25">
      <c r="F66">
        <f t="shared" ref="F66:F99" si="2">IF(D66=TRUE,0,B66)</f>
        <v>0</v>
      </c>
    </row>
    <row r="67" spans="6:6" x14ac:dyDescent="0.25">
      <c r="F67">
        <f t="shared" si="2"/>
        <v>0</v>
      </c>
    </row>
    <row r="68" spans="6:6" x14ac:dyDescent="0.25">
      <c r="F68">
        <f t="shared" si="2"/>
        <v>0</v>
      </c>
    </row>
    <row r="69" spans="6:6" x14ac:dyDescent="0.25">
      <c r="F69">
        <f t="shared" si="2"/>
        <v>0</v>
      </c>
    </row>
    <row r="70" spans="6:6" x14ac:dyDescent="0.25">
      <c r="F70">
        <f t="shared" si="2"/>
        <v>0</v>
      </c>
    </row>
    <row r="71" spans="6:6" x14ac:dyDescent="0.25">
      <c r="F71">
        <f t="shared" si="2"/>
        <v>0</v>
      </c>
    </row>
    <row r="72" spans="6:6" x14ac:dyDescent="0.25">
      <c r="F72">
        <f t="shared" si="2"/>
        <v>0</v>
      </c>
    </row>
    <row r="73" spans="6:6" x14ac:dyDescent="0.25">
      <c r="F73">
        <f t="shared" si="2"/>
        <v>0</v>
      </c>
    </row>
    <row r="74" spans="6:6" x14ac:dyDescent="0.25">
      <c r="F74">
        <f t="shared" si="2"/>
        <v>0</v>
      </c>
    </row>
    <row r="75" spans="6:6" x14ac:dyDescent="0.25">
      <c r="F75">
        <f t="shared" si="2"/>
        <v>0</v>
      </c>
    </row>
    <row r="76" spans="6:6" x14ac:dyDescent="0.25">
      <c r="F76">
        <f t="shared" si="2"/>
        <v>0</v>
      </c>
    </row>
    <row r="77" spans="6:6" x14ac:dyDescent="0.25">
      <c r="F77">
        <f t="shared" si="2"/>
        <v>0</v>
      </c>
    </row>
    <row r="78" spans="6:6" x14ac:dyDescent="0.25">
      <c r="F78">
        <f t="shared" si="2"/>
        <v>0</v>
      </c>
    </row>
    <row r="79" spans="6:6" x14ac:dyDescent="0.25">
      <c r="F79">
        <f t="shared" si="2"/>
        <v>0</v>
      </c>
    </row>
    <row r="80" spans="6:6" x14ac:dyDescent="0.25">
      <c r="F80">
        <f t="shared" si="2"/>
        <v>0</v>
      </c>
    </row>
    <row r="81" spans="6:6" x14ac:dyDescent="0.25">
      <c r="F81">
        <f t="shared" si="2"/>
        <v>0</v>
      </c>
    </row>
    <row r="82" spans="6:6" x14ac:dyDescent="0.25">
      <c r="F82">
        <f t="shared" si="2"/>
        <v>0</v>
      </c>
    </row>
    <row r="83" spans="6:6" x14ac:dyDescent="0.25">
      <c r="F83">
        <f t="shared" si="2"/>
        <v>0</v>
      </c>
    </row>
    <row r="84" spans="6:6" x14ac:dyDescent="0.25">
      <c r="F84">
        <f t="shared" si="2"/>
        <v>0</v>
      </c>
    </row>
    <row r="85" spans="6:6" x14ac:dyDescent="0.25">
      <c r="F85">
        <f t="shared" si="2"/>
        <v>0</v>
      </c>
    </row>
    <row r="86" spans="6:6" x14ac:dyDescent="0.25">
      <c r="F86">
        <f t="shared" si="2"/>
        <v>0</v>
      </c>
    </row>
    <row r="87" spans="6:6" x14ac:dyDescent="0.25">
      <c r="F87">
        <f t="shared" si="2"/>
        <v>0</v>
      </c>
    </row>
    <row r="88" spans="6:6" x14ac:dyDescent="0.25">
      <c r="F88">
        <f t="shared" si="2"/>
        <v>0</v>
      </c>
    </row>
    <row r="89" spans="6:6" x14ac:dyDescent="0.25">
      <c r="F89">
        <f t="shared" si="2"/>
        <v>0</v>
      </c>
    </row>
    <row r="90" spans="6:6" x14ac:dyDescent="0.25">
      <c r="F90">
        <f t="shared" si="2"/>
        <v>0</v>
      </c>
    </row>
    <row r="91" spans="6:6" x14ac:dyDescent="0.25">
      <c r="F91">
        <f t="shared" si="2"/>
        <v>0</v>
      </c>
    </row>
    <row r="92" spans="6:6" x14ac:dyDescent="0.25">
      <c r="F92">
        <f t="shared" si="2"/>
        <v>0</v>
      </c>
    </row>
    <row r="93" spans="6:6" x14ac:dyDescent="0.25">
      <c r="F93">
        <f t="shared" si="2"/>
        <v>0</v>
      </c>
    </row>
    <row r="94" spans="6:6" x14ac:dyDescent="0.25">
      <c r="F94">
        <f t="shared" si="2"/>
        <v>0</v>
      </c>
    </row>
    <row r="95" spans="6:6" x14ac:dyDescent="0.25">
      <c r="F95">
        <f t="shared" si="2"/>
        <v>0</v>
      </c>
    </row>
    <row r="96" spans="6:6" x14ac:dyDescent="0.25">
      <c r="F96">
        <f t="shared" si="2"/>
        <v>0</v>
      </c>
    </row>
    <row r="97" spans="6:6" x14ac:dyDescent="0.25">
      <c r="F97">
        <f t="shared" si="2"/>
        <v>0</v>
      </c>
    </row>
    <row r="98" spans="6:6" x14ac:dyDescent="0.25">
      <c r="F98">
        <f t="shared" si="2"/>
        <v>0</v>
      </c>
    </row>
    <row r="99" spans="6:6" x14ac:dyDescent="0.25">
      <c r="F99">
        <f t="shared" si="2"/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5" x14ac:dyDescent="0.25"/>
  <sheetData>
    <row r="1" spans="1:2" x14ac:dyDescent="0.25">
      <c r="A1" t="s">
        <v>7</v>
      </c>
      <c r="B1" t="s">
        <v>31</v>
      </c>
    </row>
    <row r="2" spans="1:2" x14ac:dyDescent="0.25">
      <c r="A2" t="s">
        <v>32</v>
      </c>
      <c r="B2">
        <v>0</v>
      </c>
    </row>
    <row r="3" spans="1:2" x14ac:dyDescent="0.25">
      <c r="A3" t="s">
        <v>33</v>
      </c>
      <c r="B3">
        <v>0</v>
      </c>
    </row>
    <row r="4" spans="1:2" x14ac:dyDescent="0.25">
      <c r="A4" t="s">
        <v>34</v>
      </c>
      <c r="B4">
        <v>0</v>
      </c>
    </row>
    <row r="5" spans="1:2" x14ac:dyDescent="0.25">
      <c r="A5" t="s">
        <v>35</v>
      </c>
      <c r="B5">
        <v>0</v>
      </c>
    </row>
    <row r="6" spans="1:2" x14ac:dyDescent="0.25">
      <c r="A6" t="s">
        <v>36</v>
      </c>
      <c r="B6">
        <v>0</v>
      </c>
    </row>
    <row r="7" spans="1:2" x14ac:dyDescent="0.25">
      <c r="A7" t="s">
        <v>37</v>
      </c>
      <c r="B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5" x14ac:dyDescent="0.25"/>
  <sheetData>
    <row r="1" spans="1:3" x14ac:dyDescent="0.25">
      <c r="A1" t="s">
        <v>38</v>
      </c>
      <c r="B1" t="s">
        <v>39</v>
      </c>
      <c r="C1" t="s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defaultRowHeight="15" x14ac:dyDescent="0.25"/>
  <sheetData>
    <row r="1" spans="1:2" x14ac:dyDescent="0.25">
      <c r="A1" t="s">
        <v>41</v>
      </c>
      <c r="B1">
        <v>0</v>
      </c>
    </row>
    <row r="2" spans="1:2" x14ac:dyDescent="0.25">
      <c r="A2" t="s">
        <v>42</v>
      </c>
      <c r="B2">
        <v>0</v>
      </c>
    </row>
    <row r="3" spans="1:2" x14ac:dyDescent="0.25">
      <c r="A3" t="s">
        <v>43</v>
      </c>
      <c r="B3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defaultRowHeight="15" x14ac:dyDescent="0.25"/>
  <sheetData>
    <row r="1" spans="1:4" x14ac:dyDescent="0.25">
      <c r="A1" t="s">
        <v>44</v>
      </c>
      <c r="B1" t="s">
        <v>45</v>
      </c>
      <c r="C1" t="s">
        <v>46</v>
      </c>
      <c r="D1" t="s">
        <v>47</v>
      </c>
    </row>
    <row r="2" spans="1:4" x14ac:dyDescent="0.25">
      <c r="D2">
        <f>IF(B2=0,0,C2/B2)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>
    <row r="1" spans="1:1" x14ac:dyDescent="0.25">
      <c r="A1" t="s">
        <v>48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6aca19e-e1c8-4759-8f91-bd840ba306b2}" enabled="1" method="Privileged" siteId="{dba62286-6a92-444e-bc9f-f91a3b03c5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Transactions</vt:lpstr>
      <vt:lpstr>Bank_Accounts</vt:lpstr>
      <vt:lpstr>Investments</vt:lpstr>
      <vt:lpstr>Money_Lent</vt:lpstr>
      <vt:lpstr>Budgets</vt:lpstr>
      <vt:lpstr>Subscriptions</vt:lpstr>
      <vt:lpstr>Emergency_Fund</vt:lpstr>
      <vt:lpstr>Goals</vt:lpstr>
      <vt:lpstr>Annual_Summary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Madathil</dc:creator>
  <cp:keywords/>
  <dc:description/>
  <cp:lastModifiedBy>Muhammad Madathil</cp:lastModifiedBy>
  <cp:revision/>
  <dcterms:created xsi:type="dcterms:W3CDTF">2026-08-10T08:21:28Z</dcterms:created>
  <dcterms:modified xsi:type="dcterms:W3CDTF">2026-08-10T08:25:42Z</dcterms:modified>
  <cp:category/>
  <cp:contentStatus/>
</cp:coreProperties>
</file>